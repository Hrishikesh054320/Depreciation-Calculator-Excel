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shreyas\Desktop\excel project\"/>
    </mc:Choice>
  </mc:AlternateContent>
  <xr:revisionPtr revIDLastSave="0" documentId="13_ncr:1_{8D3BAE43-A50A-4765-8A84-FAC34B31DB6F}" xr6:coauthVersionLast="47" xr6:coauthVersionMax="47" xr10:uidLastSave="{00000000-0000-0000-0000-000000000000}"/>
  <bookViews>
    <workbookView xWindow="3336" yWindow="1464" windowWidth="17280" windowHeight="8964" activeTab="1" xr2:uid="{00000000-000D-0000-FFFF-FFFF00000000}"/>
  </bookViews>
  <sheets>
    <sheet name="Information" sheetId="2" r:id="rId1"/>
    <sheet name="Depreciation Calculator" sheetId="1" r:id="rId2"/>
    <sheet name="Advanced Problem Statements  " sheetId="3" r:id="rId3"/>
    <sheet name="Depreciation Analysi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6" i="1" l="1"/>
  <c r="D29" i="1"/>
  <c r="C27" i="1"/>
  <c r="D28" i="1" s="1"/>
  <c r="D23" i="1"/>
  <c r="D14" i="1"/>
  <c r="D13" i="1"/>
  <c r="D11" i="1"/>
  <c r="D27" i="1"/>
  <c r="C26" i="1"/>
  <c r="D26" i="1"/>
  <c r="D12" i="1"/>
  <c r="D20" i="1"/>
  <c r="D15" i="1"/>
  <c r="D8" i="1"/>
  <c r="C28" i="1" l="1"/>
  <c r="C29" i="1" s="1"/>
  <c r="D30" i="1" s="1"/>
  <c r="C30" i="1" l="1"/>
  <c r="D31" i="1" s="1"/>
  <c r="C31" i="1" l="1"/>
  <c r="D32" i="1" s="1"/>
  <c r="C32" i="1" l="1"/>
  <c r="D33" i="1" s="1"/>
  <c r="C33" i="1" l="1"/>
  <c r="D34" i="1" s="1"/>
  <c r="C34" i="1" l="1"/>
  <c r="D35" i="1" s="1"/>
  <c r="C35" i="1" l="1"/>
  <c r="C36" i="1" l="1"/>
  <c r="D37" i="1" s="1"/>
  <c r="C37" i="1" l="1"/>
  <c r="D38" i="1" s="1"/>
  <c r="C38" i="1" l="1"/>
  <c r="D39" i="1" s="1"/>
  <c r="C39" i="1" l="1"/>
  <c r="D40" i="1" s="1"/>
  <c r="C40" i="1" l="1"/>
  <c r="D41" i="1" s="1"/>
  <c r="C41" i="1" l="1"/>
  <c r="D42" i="1" s="1"/>
  <c r="C42" i="1" l="1"/>
  <c r="D43" i="1" s="1"/>
  <c r="C43" i="1" l="1"/>
  <c r="D44" i="1" s="1"/>
  <c r="C44" i="1" l="1"/>
  <c r="D45" i="1" s="1"/>
  <c r="C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<sst xmlns="http://schemas.openxmlformats.org/spreadsheetml/2006/main" count="53" uniqueCount="48">
  <si>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</si>
  <si>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</si>
  <si>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</si>
  <si>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</si>
  <si>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</si>
  <si>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</si>
  <si>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</si>
  <si>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</si>
  <si>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</si>
  <si>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</si>
  <si>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</si>
  <si>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</si>
  <si>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</si>
  <si>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</si>
  <si>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</si>
  <si>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</si>
  <si>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</si>
  <si>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</si>
  <si>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</si>
  <si>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UNIVERSAL INDUSTRIES</t>
  </si>
  <si>
    <t>Calculate the annual depreciation amount using the straight line method for the given asset.</t>
  </si>
  <si>
    <t>(D8-D9)/D10</t>
  </si>
  <si>
    <t>Calculate the total depreciation for the asset's entire life span using the straight-line method.</t>
  </si>
  <si>
    <t>D8-D9</t>
  </si>
  <si>
    <t>What is the depreciated book value of the asset after its life span using the straight-line method?</t>
  </si>
  <si>
    <t>D8-((D8-D9)/D10*D10)</t>
  </si>
  <si>
    <t>(1-(D21/D20)^(1/D22))</t>
  </si>
  <si>
    <t>20.6%</t>
  </si>
  <si>
    <t>Calculate the rate of depreciation per year as per the diminishing balance method.</t>
  </si>
  <si>
    <t>IF(D27&gt;$D$21,D27*$D$23,"")</t>
  </si>
  <si>
    <t>What is the depreciation amount for the asset in the second year according to the diminishing balance method?</t>
  </si>
  <si>
    <t>$81,685.45</t>
  </si>
  <si>
    <t>D28-C28</t>
  </si>
  <si>
    <t>$20,50,593.62</t>
  </si>
  <si>
    <t>What is the book value of the asset in the fourth year using the diminishing balance method?</t>
  </si>
  <si>
    <t>Calculate the total depreciation for the asset's entire life span using the diminishing balance method.</t>
  </si>
  <si>
    <t>D20-D21</t>
  </si>
  <si>
    <t>What is the book value of the asset after its life span using the diminishing balance method?</t>
  </si>
  <si>
    <t>D35-C35</t>
  </si>
  <si>
    <t>Compare the total depreciation amounts obtained from the straight-line method and the diminishing balance method. Which method results in higher total depreciation?</t>
  </si>
  <si>
    <t xml:space="preserve">both are same </t>
  </si>
  <si>
    <t>.</t>
  </si>
  <si>
    <t>Diminishing Balance Depreciation</t>
  </si>
  <si>
    <t>Straight Line Depreciation</t>
  </si>
  <si>
    <t>SR.NO</t>
  </si>
  <si>
    <t>QUESTIONS</t>
  </si>
  <si>
    <t xml:space="preserve">ANSWERS </t>
  </si>
  <si>
    <t>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</si>
</sst>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164" formatCode="[$$-409]#,##0.00_ ;[Red]\-[$$-409]#,##0.00\ "/>
    <numFmt numFmtId="165" formatCode="[$$-409]#,##0.00"/>
    <numFmt numFmtId="166" formatCode="0.0%"/>
    <numFmt numFmtId="167" formatCode="&quot;₹&quot;\ #,##0"/>
  </numFmts>
  <fonts count="12"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sz val="11"/>
      <color theme="1"/>
      <name val="Calibri"/>
      <family val="2"/>
      <scheme val="minor"/>
    </font>
    <font>
      <b/>
      <sz val="11"/>
      <name val="Calibri"/>
    </font>
  </fonts>
  <fills count="5">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31">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66" fontId="6" fillId="2" borderId="1" xfId="0" applyNumberFormat="1" applyFont="1" applyFill="1" applyBorder="1" applyAlignment="1">
      <alignment horizontal="center" vertical="center"/>
    </xf>
    <xf numFmtId="9" fontId="6" fillId="2" borderId="1" xfId="2" applyNumberFormat="1" applyFont="1" applyFill="1" applyBorder="1" applyAlignment="1">
      <alignment horizontal="center" vertical="center"/>
    </xf>
    <xf numFmtId="6" fontId="0" fillId="0" borderId="0" xfId="0" applyNumberFormat="1"/>
    <xf numFmtId="167" fontId="0" fillId="0" borderId="0" xfId="0" applyNumberFormat="1"/>
    <xf numFmtId="49" fontId="0" fillId="0" borderId="0" xfId="0" applyNumberFormat="1" applyAlignment="1">
      <alignment horizontal="right"/>
    </xf>
    <xf numFmtId="4" fontId="1" fillId="0" borderId="0" xfId="0" applyNumberFormat="1" applyFont="1" applyAlignment="1">
      <alignment horizontal="center" vertical="center"/>
    </xf>
    <xf numFmtId="4" fontId="0" fillId="0" borderId="0" xfId="0" applyNumberFormat="1" applyAlignment="1">
      <alignment horizontal="right"/>
    </xf>
    <xf numFmtId="0" fontId="11" fillId="0" borderId="0" xfId="0" applyFont="1"/>
    <xf numFmtId="0" fontId="0" fillId="0" borderId="0" xfId="0" applyAlignment="1">
      <alignment vertical="top" wrapText="1"/>
    </xf>
    <xf numFmtId="0" fontId="0" fillId="0" borderId="0" xfId="0" applyAlignment="1">
      <alignment horizont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cellXfs>
  <cellStyles count="3">
    <cellStyle name="Hyperlink" xfId="1" builtinId="8"/>
    <cellStyle name="Normal" xfId="0" builtinId="0"/>
    <cellStyle name="Percent" xfId="2" builtinId="5"/>
  </cellStyles>
  <dxfs count="1">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IN" sz="1400"/>
              <a:t>Depreciation Comparison</a:t>
            </a:r>
          </a:p>
        </c:rich>
      </c:tx>
      <c:layout>
        <c:manualLayout>
          <c:xMode val="edge"/>
          <c:yMode val="edge"/>
          <c:x val="0.37107722222222217"/>
          <c:y val="8.9370370370370364E-2"/>
        </c:manualLayout>
      </c:layout>
      <c:overlay val="1"/>
    </c:title>
    <c:autoTitleDeleted val="0"/>
    <c:plotArea>
      <c:layout>
        <c:manualLayout>
          <c:layoutTarget val="inner"/>
          <c:xMode val="edge"/>
          <c:yMode val="edge"/>
          <c:x val="4.2333333333333334E-2"/>
          <c:y val="6.1148148148148146E-2"/>
          <c:w val="0.94825925925925925"/>
          <c:h val="0.89651851851851849"/>
        </c:manualLayout>
      </c:layout>
      <c:lineChart>
        <c:grouping val="standard"/>
        <c:varyColors val="1"/>
        <c:ser>
          <c:idx val="0"/>
          <c:order val="0"/>
          <c:tx>
            <c:strRef>
              <c:f>'Depreciation Analysis'!$B$1</c:f>
              <c:strCache>
                <c:ptCount val="1"/>
                <c:pt idx="0">
                  <c:v>Straight Line Depreciation</c:v>
                </c:pt>
              </c:strCache>
            </c:strRef>
          </c:tx>
          <c:spPr>
            <a:ln>
              <a:prstDash val="solid"/>
            </a:ln>
          </c:spPr>
          <c:marker>
            <c:symbol val="none"/>
          </c:marker>
          <c:cat>
            <c:numRef>
              <c:f>'Depreciation Analysis'!$A$2:$A$11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'Depreciation Analysis'!$B$2:$B$11</c:f>
              <c:numCache>
                <c:formatCode>General</c:formatCode>
                <c:ptCount val="10"/>
                <c:pt idx="0">
                  <c:v>45000</c:v>
                </c:pt>
                <c:pt idx="1">
                  <c:v>45000</c:v>
                </c:pt>
                <c:pt idx="2">
                  <c:v>45000</c:v>
                </c:pt>
                <c:pt idx="3">
                  <c:v>45000</c:v>
                </c:pt>
                <c:pt idx="4">
                  <c:v>45000</c:v>
                </c:pt>
                <c:pt idx="5">
                  <c:v>45000</c:v>
                </c:pt>
                <c:pt idx="6">
                  <c:v>45000</c:v>
                </c:pt>
                <c:pt idx="7">
                  <c:v>45000</c:v>
                </c:pt>
                <c:pt idx="8">
                  <c:v>45000</c:v>
                </c:pt>
                <c:pt idx="9">
                  <c:v>45000</c:v>
                </c:pt>
              </c:numCache>
            </c:numRef>
          </c:val>
          <c:smooth val="1"/>
          <c:extLst>
            <c:ext xmlns:c16="http://schemas.microsoft.com/office/drawing/2014/chart" uri="{C3380CC4-5D6E-409C-BE32-E72D297353CC}">
              <c16:uniqueId val="{00000000-D47C-4F25-947B-C783758BC576}"/>
            </c:ext>
          </c:extLst>
        </c:ser>
        <c:ser>
          <c:idx val="1"/>
          <c:order val="1"/>
          <c:tx>
            <c:strRef>
              <c:f>'Depreciation Analysis'!$C$1</c:f>
              <c:strCache>
                <c:ptCount val="1"/>
                <c:pt idx="0">
                  <c:v>Diminishing Balance Depreciation</c:v>
                </c:pt>
              </c:strCache>
            </c:strRef>
          </c:tx>
          <c:spPr>
            <a:ln>
              <a:prstDash val="solid"/>
            </a:ln>
          </c:spPr>
          <c:marker>
            <c:symbol val="none"/>
          </c:marker>
          <c:cat>
            <c:numRef>
              <c:f>'Depreciation Analysis'!$A$2:$A$11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'Depreciation Analysis'!$C$2:$C$11</c:f>
              <c:numCache>
                <c:formatCode>General</c:formatCode>
                <c:ptCount val="10"/>
                <c:pt idx="0">
                  <c:v>103000</c:v>
                </c:pt>
                <c:pt idx="1">
                  <c:v>81782</c:v>
                </c:pt>
                <c:pt idx="2">
                  <c:v>64934.908000000003</c:v>
                </c:pt>
                <c:pt idx="3">
                  <c:v>51558.316952000001</c:v>
                </c:pt>
                <c:pt idx="4">
                  <c:v>40937.303659887999</c:v>
                </c:pt>
                <c:pt idx="5">
                  <c:v>32504.21910595107</c:v>
                </c:pt>
                <c:pt idx="6">
                  <c:v>25808.349970125149</c:v>
                </c:pt>
                <c:pt idx="7">
                  <c:v>20491.829876279371</c:v>
                </c:pt>
                <c:pt idx="8">
                  <c:v>16270.51292176582</c:v>
                </c:pt>
                <c:pt idx="9">
                  <c:v>12918.78725988206</c:v>
                </c:pt>
              </c:numCache>
            </c:numRef>
          </c:val>
          <c:smooth val="1"/>
          <c:extLst>
            <c:ext xmlns:c16="http://schemas.microsoft.com/office/drawing/2014/chart" uri="{C3380CC4-5D6E-409C-BE32-E72D297353CC}">
              <c16:uniqueId val="{00000001-D47C-4F25-947B-C783758BC576}"/>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IN"/>
                  <a:t>Year</a:t>
                </a:r>
              </a:p>
            </c:rich>
          </c:tx>
          <c:layout>
            <c:manualLayout>
              <c:xMode val="edge"/>
              <c:yMode val="edge"/>
              <c:x val="0.48504222222222221"/>
              <c:y val="0.85322074074074072"/>
            </c:manualLayout>
          </c:layout>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IN"/>
                  <a:t>Depreciation Amount</a:t>
                </a:r>
              </a:p>
            </c:rich>
          </c:tx>
          <c:overlay val="1"/>
        </c:title>
        <c:numFmt formatCode="General" sourceLinked="1"/>
        <c:majorTickMark val="out"/>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3</xdr:col>
      <xdr:colOff>213360</xdr:colOff>
      <xdr:row>2</xdr:row>
      <xdr:rowOff>121920</xdr:rowOff>
    </xdr:from>
    <xdr:ext cx="5400000" cy="2700000"/>
    <xdr:graphicFrame macro="">
      <xdr:nvGraphicFramePr>
        <xdr:cNvPr id="2" name="Chart 1">
          <a:extLst>
            <a:ext uri="{FF2B5EF4-FFF2-40B4-BE49-F238E27FC236}">
              <a16:creationId xmlns:a16="http://schemas.microsoft.com/office/drawing/2014/main" id="{09FF6867-EB88-4266-A5F6-1982F0F63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F978BC-73CB-49DC-93FA-FB41CF4A6D82}" name="Table2" displayName="Table2" ref="B2:E11" totalsRowShown="0">
  <autoFilter ref="B2:E11" xr:uid="{0AF978BC-73CB-49DC-93FA-FB41CF4A6D82}"/>
  <tableColumns count="4">
    <tableColumn id="1" xr3:uid="{A82EF5D9-71CB-4439-8AF6-763B4E75B7E1}" name="SR.NO"/>
    <tableColumn id="2" xr3:uid="{2799E275-A380-451B-B7D2-7C1D33E609F5}" name="QUESTIONS"/>
    <tableColumn id="3" xr3:uid="{71305A12-D5CB-4DB6-86E5-6892EC003D16}" name="ANSWERS "/>
    <tableColumn id="4" xr3:uid="{4D829D92-2E28-4CAD-9F5B-02D60F91F223}" name="FORMULAS"/>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A12FAA-05C6-4967-A877-44DADE95053C}" name="Table1" displayName="Table1" ref="A1:C11" totalsRowShown="0" headerRowDxfId="0">
  <autoFilter ref="A1:C11" xr:uid="{DCD0D50F-8AD9-4CD4-8679-802D1330CBF7}"/>
  <tableColumns count="3">
    <tableColumn id="1" xr3:uid="{D337723C-63BA-4153-92B9-A3FFF71D9AAD}" name="Year"/>
    <tableColumn id="2" xr3:uid="{25FAD8BA-C8DB-4011-8B8C-D43154775201}" name="Straight Line Depreciation"/>
    <tableColumn id="3" xr3:uid="{E5C4E8C5-439F-4121-83B9-4FDD578160A9}" name="Diminishing Balance Depreciat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C6" zoomScale="95"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tabSelected="1" workbookViewId="0">
      <selection activeCell="D36" sqref="D36"/>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8.6640625" style="1"/>
    <col min="7" max="7" width="14.109375" style="1" bestFit="1" customWidth="1"/>
    <col min="8" max="16384" width="8.6640625" style="1"/>
  </cols>
  <sheetData>
    <row r="1" spans="1:5" ht="9.9" customHeight="1" thickBot="1" x14ac:dyDescent="0.35">
      <c r="A1" s="8"/>
      <c r="B1" s="8"/>
      <c r="C1" s="8"/>
      <c r="D1" s="8"/>
      <c r="E1" s="8"/>
    </row>
    <row r="2" spans="1:5" ht="37.799999999999997" thickTop="1" thickBot="1" x14ac:dyDescent="0.35">
      <c r="A2" s="8"/>
      <c r="B2" s="26"/>
      <c r="C2" s="24" t="s">
        <v>19</v>
      </c>
      <c r="D2" s="24"/>
      <c r="E2" s="8"/>
    </row>
    <row r="3" spans="1:5" ht="25.8" thickTop="1" thickBot="1" x14ac:dyDescent="0.35">
      <c r="A3" s="8"/>
      <c r="B3" s="27"/>
      <c r="C3" s="25" t="s">
        <v>8</v>
      </c>
      <c r="D3" s="25"/>
      <c r="E3" s="8"/>
    </row>
    <row r="4" spans="1:5" ht="19.2" thickTop="1" thickBot="1" x14ac:dyDescent="0.35">
      <c r="A4" s="8"/>
      <c r="B4" s="5"/>
      <c r="C4" s="5"/>
      <c r="D4" s="5"/>
      <c r="E4" s="8"/>
    </row>
    <row r="5" spans="1:5" ht="25.8" thickTop="1" thickBot="1" x14ac:dyDescent="0.35">
      <c r="A5" s="8"/>
      <c r="B5" s="30" t="s">
        <v>17</v>
      </c>
      <c r="C5" s="30"/>
      <c r="D5" s="30"/>
      <c r="E5" s="8"/>
    </row>
    <row r="6" spans="1:5" ht="19.2" thickTop="1" thickBot="1" x14ac:dyDescent="0.35">
      <c r="A6" s="8"/>
      <c r="B6" s="28" t="s">
        <v>11</v>
      </c>
      <c r="C6" s="29"/>
      <c r="D6" s="9">
        <v>450000</v>
      </c>
      <c r="E6" s="8"/>
    </row>
    <row r="7" spans="1:5" ht="19.2" thickTop="1" thickBot="1" x14ac:dyDescent="0.35">
      <c r="A7" s="8"/>
      <c r="B7" s="28" t="s">
        <v>13</v>
      </c>
      <c r="C7" s="29"/>
      <c r="D7" s="9">
        <v>50000</v>
      </c>
      <c r="E7" s="8"/>
    </row>
    <row r="8" spans="1:5" ht="19.2" thickTop="1" thickBot="1" x14ac:dyDescent="0.35">
      <c r="A8" s="8"/>
      <c r="B8" s="28" t="s">
        <v>0</v>
      </c>
      <c r="C8" s="29"/>
      <c r="D8" s="4">
        <f>D7+D6</f>
        <v>500000</v>
      </c>
      <c r="E8" s="8"/>
    </row>
    <row r="9" spans="1:5" ht="19.2" thickTop="1" thickBot="1" x14ac:dyDescent="0.35">
      <c r="A9" s="8"/>
      <c r="B9" s="28" t="s">
        <v>1</v>
      </c>
      <c r="C9" s="29"/>
      <c r="D9" s="9">
        <v>50000</v>
      </c>
      <c r="E9" s="8"/>
    </row>
    <row r="10" spans="1:5" ht="19.2" thickTop="1" thickBot="1" x14ac:dyDescent="0.35">
      <c r="A10" s="8"/>
      <c r="B10" s="28" t="s">
        <v>2</v>
      </c>
      <c r="C10" s="29"/>
      <c r="D10" s="10">
        <v>10</v>
      </c>
      <c r="E10" s="8"/>
    </row>
    <row r="11" spans="1:5" ht="19.2" thickTop="1" thickBot="1" x14ac:dyDescent="0.35">
      <c r="A11" s="8"/>
      <c r="B11" s="23" t="s">
        <v>9</v>
      </c>
      <c r="C11" s="23"/>
      <c r="D11" s="4">
        <f>(D8-D9)/D10</f>
        <v>45000</v>
      </c>
      <c r="E11" s="8"/>
    </row>
    <row r="12" spans="1:5" ht="19.2" thickTop="1" thickBot="1" x14ac:dyDescent="0.35">
      <c r="A12" s="8"/>
      <c r="B12" s="23" t="s">
        <v>12</v>
      </c>
      <c r="C12" s="23"/>
      <c r="D12" s="12">
        <f>((D8-D9)/D10)/D8</f>
        <v>0.09</v>
      </c>
      <c r="E12" s="8"/>
    </row>
    <row r="13" spans="1:5" ht="19.2" thickTop="1" thickBot="1" x14ac:dyDescent="0.35">
      <c r="A13" s="8"/>
      <c r="B13" s="28" t="s">
        <v>5</v>
      </c>
      <c r="C13" s="29"/>
      <c r="D13" s="3">
        <f>D8-D9</f>
        <v>450000</v>
      </c>
      <c r="E13" s="8"/>
    </row>
    <row r="14" spans="1:5" ht="19.2" thickTop="1" thickBot="1" x14ac:dyDescent="0.35">
      <c r="A14" s="8"/>
      <c r="B14" s="28" t="s">
        <v>4</v>
      </c>
      <c r="C14" s="29"/>
      <c r="D14" s="3">
        <f>D8-((D8-D9)/D10*D10)</f>
        <v>50000</v>
      </c>
      <c r="E14" s="8"/>
    </row>
    <row r="15" spans="1:5" ht="19.2" thickTop="1" thickBot="1" x14ac:dyDescent="0.35">
      <c r="A15" s="8"/>
      <c r="B15" s="28" t="s">
        <v>6</v>
      </c>
      <c r="C15" s="29"/>
      <c r="D15" s="3">
        <f>D9-D14</f>
        <v>0</v>
      </c>
      <c r="E15" s="8"/>
    </row>
    <row r="16" spans="1:5" ht="19.2" thickTop="1" thickBot="1" x14ac:dyDescent="0.35">
      <c r="A16" s="8"/>
      <c r="B16" s="5"/>
      <c r="C16" s="5"/>
      <c r="D16" s="5"/>
      <c r="E16" s="8"/>
    </row>
    <row r="17" spans="1:7" ht="25.8" thickTop="1" thickBot="1" x14ac:dyDescent="0.35">
      <c r="A17" s="8"/>
      <c r="B17" s="30" t="s">
        <v>16</v>
      </c>
      <c r="C17" s="30"/>
      <c r="D17" s="30"/>
      <c r="E17" s="8"/>
    </row>
    <row r="18" spans="1:7" ht="18.899999999999999" customHeight="1" thickTop="1" thickBot="1" x14ac:dyDescent="0.35">
      <c r="A18" s="8"/>
      <c r="B18" s="23" t="s">
        <v>11</v>
      </c>
      <c r="C18" s="23"/>
      <c r="D18" s="9">
        <v>450000</v>
      </c>
      <c r="E18" s="8"/>
    </row>
    <row r="19" spans="1:7" ht="18.899999999999999" customHeight="1" thickTop="1" thickBot="1" x14ac:dyDescent="0.35">
      <c r="A19" s="8"/>
      <c r="B19" s="23" t="s">
        <v>14</v>
      </c>
      <c r="C19" s="23"/>
      <c r="D19" s="9">
        <v>50000</v>
      </c>
      <c r="E19" s="8"/>
    </row>
    <row r="20" spans="1:7" ht="18.899999999999999" customHeight="1" thickTop="1" thickBot="1" x14ac:dyDescent="0.35">
      <c r="A20" s="8"/>
      <c r="B20" s="23" t="s">
        <v>0</v>
      </c>
      <c r="C20" s="23"/>
      <c r="D20" s="4">
        <f>D18+D19</f>
        <v>500000</v>
      </c>
      <c r="E20" s="8"/>
    </row>
    <row r="21" spans="1:7" ht="18.899999999999999" customHeight="1" thickTop="1" thickBot="1" x14ac:dyDescent="0.35">
      <c r="A21" s="8"/>
      <c r="B21" s="23" t="s">
        <v>1</v>
      </c>
      <c r="C21" s="23"/>
      <c r="D21" s="9">
        <v>50000</v>
      </c>
      <c r="E21" s="8"/>
    </row>
    <row r="22" spans="1:7" ht="18.899999999999999" customHeight="1" thickTop="1" thickBot="1" x14ac:dyDescent="0.35">
      <c r="A22" s="8"/>
      <c r="B22" s="23" t="s">
        <v>2</v>
      </c>
      <c r="C22" s="23"/>
      <c r="D22" s="10">
        <v>10</v>
      </c>
      <c r="E22" s="8"/>
    </row>
    <row r="23" spans="1:7" ht="18.899999999999999" customHeight="1" thickTop="1" thickBot="1" x14ac:dyDescent="0.35">
      <c r="A23" s="8"/>
      <c r="B23" s="21" t="s">
        <v>10</v>
      </c>
      <c r="C23" s="21"/>
      <c r="D23" s="11">
        <f>(1-(D21/D20)^(1/D22))</f>
        <v>0.20567176527571851</v>
      </c>
      <c r="E23" s="8"/>
    </row>
    <row r="24" spans="1:7" ht="24" thickTop="1" thickBot="1" x14ac:dyDescent="0.35">
      <c r="A24" s="8"/>
      <c r="B24" s="22" t="s">
        <v>15</v>
      </c>
      <c r="C24" s="22"/>
      <c r="D24" s="22"/>
      <c r="E24" s="8"/>
    </row>
    <row r="25" spans="1:7" ht="19.2" thickTop="1" thickBot="1" x14ac:dyDescent="0.35">
      <c r="A25" s="8"/>
      <c r="B25" s="6" t="s">
        <v>7</v>
      </c>
      <c r="C25" s="6" t="s">
        <v>18</v>
      </c>
      <c r="D25" s="6" t="s">
        <v>3</v>
      </c>
      <c r="E25" s="8"/>
    </row>
    <row r="26" spans="1:7" ht="19.2" thickTop="1" thickBot="1" x14ac:dyDescent="0.35">
      <c r="A26" s="8"/>
      <c r="B26" s="2">
        <v>1</v>
      </c>
      <c r="C26" s="7">
        <f>IF(D26&gt;$D$21,D26*$D$23,"")</f>
        <v>102835.88263785925</v>
      </c>
      <c r="D26" s="4">
        <f>D19+D18</f>
        <v>500000</v>
      </c>
      <c r="E26" s="8"/>
    </row>
    <row r="27" spans="1:7" ht="19.2" thickTop="1" thickBot="1" x14ac:dyDescent="0.35">
      <c r="A27" s="8"/>
      <c r="B27" s="2">
        <v>2</v>
      </c>
      <c r="C27" s="7">
        <f>IF(D27&gt;$D$21,D27*$D$23,"")</f>
        <v>81685.445122044126</v>
      </c>
      <c r="D27" s="7">
        <f>D26-C26</f>
        <v>397164.11736214074</v>
      </c>
      <c r="E27" s="8"/>
    </row>
    <row r="28" spans="1:7" ht="19.2" thickTop="1" thickBot="1" x14ac:dyDescent="0.35">
      <c r="A28" s="8"/>
      <c r="B28" s="2">
        <v>3</v>
      </c>
      <c r="C28" s="7">
        <f t="shared" ref="C28:C35" si="0">IF(D28&gt;$D$21,D28*$D$23,"")</f>
        <v>64885.05542646048</v>
      </c>
      <c r="D28" s="7">
        <f t="shared" ref="D28:D35" si="1">D27-C27</f>
        <v>315478.67224009661</v>
      </c>
      <c r="E28" s="8"/>
    </row>
    <row r="29" spans="1:7" ht="19.2" thickTop="1" thickBot="1" x14ac:dyDescent="0.35">
      <c r="A29" s="8"/>
      <c r="B29" s="2">
        <v>4</v>
      </c>
      <c r="C29" s="7">
        <f t="shared" si="0"/>
        <v>51540.031536887516</v>
      </c>
      <c r="D29" s="7">
        <f>D28-C28</f>
        <v>250593.61681363612</v>
      </c>
      <c r="E29" s="8"/>
      <c r="G29" s="16">
        <v>2050593.62</v>
      </c>
    </row>
    <row r="30" spans="1:7" ht="19.2" thickTop="1" thickBot="1" x14ac:dyDescent="0.35">
      <c r="A30" s="8"/>
      <c r="B30" s="2">
        <v>5</v>
      </c>
      <c r="C30" s="7">
        <f t="shared" si="0"/>
        <v>40939.70226832966</v>
      </c>
      <c r="D30" s="7">
        <f t="shared" si="1"/>
        <v>199053.58527674861</v>
      </c>
      <c r="E30" s="8"/>
    </row>
    <row r="31" spans="1:7" ht="19.2" thickTop="1" thickBot="1" x14ac:dyDescent="0.35">
      <c r="A31" s="8"/>
      <c r="B31" s="2">
        <v>6</v>
      </c>
      <c r="C31" s="7">
        <f t="shared" si="0"/>
        <v>32519.561432939961</v>
      </c>
      <c r="D31" s="7">
        <f t="shared" si="1"/>
        <v>158113.88300841895</v>
      </c>
      <c r="E31" s="8"/>
    </row>
    <row r="32" spans="1:7" ht="19.2" thickTop="1" thickBot="1" x14ac:dyDescent="0.35">
      <c r="A32" s="8"/>
      <c r="B32" s="2">
        <v>7</v>
      </c>
      <c r="C32" s="7">
        <f t="shared" si="0"/>
        <v>25831.205827035024</v>
      </c>
      <c r="D32" s="7">
        <f t="shared" si="1"/>
        <v>125594.321575479</v>
      </c>
      <c r="E32" s="8"/>
    </row>
    <row r="33" spans="1:5" ht="19.2" thickTop="1" thickBot="1" x14ac:dyDescent="0.35">
      <c r="A33" s="8"/>
      <c r="B33" s="2">
        <v>8</v>
      </c>
      <c r="C33" s="7">
        <f t="shared" si="0"/>
        <v>20518.456125388308</v>
      </c>
      <c r="D33" s="7">
        <f t="shared" si="1"/>
        <v>99763.115748443975</v>
      </c>
      <c r="E33" s="8"/>
    </row>
    <row r="34" spans="1:5" ht="19.2" thickTop="1" thickBot="1" x14ac:dyDescent="0.35">
      <c r="A34" s="8"/>
      <c r="B34" s="2">
        <v>9</v>
      </c>
      <c r="C34" s="7">
        <f t="shared" si="0"/>
        <v>16298.389033347312</v>
      </c>
      <c r="D34" s="7">
        <f t="shared" si="1"/>
        <v>79244.659623055661</v>
      </c>
      <c r="E34" s="8"/>
    </row>
    <row r="35" spans="1:5" ht="19.2" thickTop="1" thickBot="1" x14ac:dyDescent="0.35">
      <c r="A35" s="8"/>
      <c r="B35" s="2">
        <v>10</v>
      </c>
      <c r="C35" s="7">
        <f t="shared" si="0"/>
        <v>12946.27058970836</v>
      </c>
      <c r="D35" s="7">
        <f t="shared" si="1"/>
        <v>62946.270589708351</v>
      </c>
      <c r="E35" s="8"/>
    </row>
    <row r="36" spans="1:5" ht="19.2" thickTop="1" thickBot="1" x14ac:dyDescent="0.35">
      <c r="A36" s="8"/>
      <c r="B36" s="2"/>
      <c r="C36" s="7" t="str">
        <f t="shared" ref="C36:C45" si="2">IFERROR(IF(D36&gt;$D$21, (D36*$D$23), ""),"")</f>
        <v/>
      </c>
      <c r="D36" s="7">
        <f>IFERROR(D35-C35, "")</f>
        <v>49999.999999999993</v>
      </c>
      <c r="E36" s="8"/>
    </row>
    <row r="37" spans="1:5" ht="19.2" thickTop="1" thickBot="1" x14ac:dyDescent="0.35">
      <c r="A37" s="8"/>
      <c r="B37" s="2"/>
      <c r="C37" s="7" t="str">
        <f t="shared" si="2"/>
        <v/>
      </c>
      <c r="D37" s="7" t="str">
        <f t="shared" ref="D37:D45" si="3">IFERROR(D36-C36, "")</f>
        <v/>
      </c>
      <c r="E37" s="8"/>
    </row>
    <row r="38" spans="1:5" ht="19.2" thickTop="1" thickBot="1" x14ac:dyDescent="0.35">
      <c r="A38" s="8"/>
      <c r="B38" s="2"/>
      <c r="C38" s="7" t="str">
        <f t="shared" si="2"/>
        <v/>
      </c>
      <c r="D38" s="7" t="str">
        <f t="shared" si="3"/>
        <v/>
      </c>
      <c r="E38" s="8"/>
    </row>
    <row r="39" spans="1:5" ht="19.2" thickTop="1" thickBot="1" x14ac:dyDescent="0.35">
      <c r="A39" s="8"/>
      <c r="B39" s="2"/>
      <c r="C39" s="7" t="str">
        <f t="shared" si="2"/>
        <v/>
      </c>
      <c r="D39" s="7" t="str">
        <f t="shared" si="3"/>
        <v/>
      </c>
      <c r="E39" s="8"/>
    </row>
    <row r="40" spans="1:5" ht="19.2" thickTop="1" thickBot="1" x14ac:dyDescent="0.35">
      <c r="A40" s="8"/>
      <c r="B40" s="2"/>
      <c r="C40" s="7" t="str">
        <f t="shared" si="2"/>
        <v/>
      </c>
      <c r="D40" s="7" t="str">
        <f t="shared" si="3"/>
        <v/>
      </c>
      <c r="E40" s="8"/>
    </row>
    <row r="41" spans="1:5" ht="19.2" thickTop="1" thickBot="1" x14ac:dyDescent="0.35">
      <c r="A41" s="8"/>
      <c r="B41" s="2"/>
      <c r="C41" s="7" t="str">
        <f t="shared" si="2"/>
        <v/>
      </c>
      <c r="D41" s="7" t="str">
        <f t="shared" si="3"/>
        <v/>
      </c>
      <c r="E41" s="8"/>
    </row>
    <row r="42" spans="1:5" ht="19.2" thickTop="1" thickBot="1" x14ac:dyDescent="0.35">
      <c r="A42" s="8"/>
      <c r="B42" s="2"/>
      <c r="C42" s="7" t="str">
        <f t="shared" si="2"/>
        <v/>
      </c>
      <c r="D42" s="7" t="str">
        <f t="shared" si="3"/>
        <v/>
      </c>
      <c r="E42" s="8"/>
    </row>
    <row r="43" spans="1:5" ht="19.2" thickTop="1" thickBot="1" x14ac:dyDescent="0.35">
      <c r="A43" s="8"/>
      <c r="B43" s="2"/>
      <c r="C43" s="7" t="str">
        <f t="shared" si="2"/>
        <v/>
      </c>
      <c r="D43" s="7" t="str">
        <f t="shared" si="3"/>
        <v/>
      </c>
      <c r="E43" s="8"/>
    </row>
    <row r="44" spans="1:5" ht="19.2" thickTop="1" thickBot="1" x14ac:dyDescent="0.35">
      <c r="A44" s="8"/>
      <c r="B44" s="2"/>
      <c r="C44" s="7" t="str">
        <f t="shared" si="2"/>
        <v/>
      </c>
      <c r="D44" s="7" t="str">
        <f t="shared" si="3"/>
        <v/>
      </c>
      <c r="E44" s="8"/>
    </row>
    <row r="45" spans="1:5" ht="19.2" thickTop="1" thickBot="1" x14ac:dyDescent="0.35">
      <c r="A45" s="8"/>
      <c r="B45" s="2"/>
      <c r="C45" s="7" t="str">
        <f t="shared" si="2"/>
        <v/>
      </c>
      <c r="D45" s="7" t="str">
        <f t="shared" si="3"/>
        <v/>
      </c>
      <c r="E45" s="8"/>
    </row>
    <row r="46" spans="1:5" ht="18.600000000000001" thickTop="1" x14ac:dyDescent="0.3">
      <c r="A46" s="8"/>
      <c r="B46" s="8"/>
      <c r="C46" s="8"/>
      <c r="D46" s="8"/>
      <c r="E46" s="8"/>
    </row>
  </sheetData>
  <mergeCells count="22">
    <mergeCell ref="B8:C8"/>
    <mergeCell ref="B9:C9"/>
    <mergeCell ref="B10:C10"/>
    <mergeCell ref="B17:D17"/>
    <mergeCell ref="B11:C11"/>
    <mergeCell ref="B13:C13"/>
    <mergeCell ref="B14:C14"/>
    <mergeCell ref="B15:C15"/>
    <mergeCell ref="C2:D2"/>
    <mergeCell ref="C3:D3"/>
    <mergeCell ref="B2:B3"/>
    <mergeCell ref="B6:C6"/>
    <mergeCell ref="B7:C7"/>
    <mergeCell ref="B5:D5"/>
    <mergeCell ref="B23:C23"/>
    <mergeCell ref="B24:D24"/>
    <mergeCell ref="B12:C12"/>
    <mergeCell ref="B18:C18"/>
    <mergeCell ref="B19:C19"/>
    <mergeCell ref="B20:C20"/>
    <mergeCell ref="B21:C21"/>
    <mergeCell ref="B22:C22"/>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A7AB2-82E6-442D-8CBB-757D2FD516EE}">
  <dimension ref="B2:E12"/>
  <sheetViews>
    <sheetView workbookViewId="0">
      <selection activeCell="C14" sqref="C14"/>
    </sheetView>
  </sheetViews>
  <sheetFormatPr defaultRowHeight="14.4" x14ac:dyDescent="0.3"/>
  <cols>
    <col min="3" max="3" width="91" customWidth="1"/>
    <col min="4" max="4" width="13.33203125" customWidth="1"/>
    <col min="5" max="5" width="25.6640625" customWidth="1"/>
  </cols>
  <sheetData>
    <row r="2" spans="2:5" x14ac:dyDescent="0.3">
      <c r="B2" t="s">
        <v>44</v>
      </c>
      <c r="C2" t="s">
        <v>45</v>
      </c>
      <c r="D2" t="s">
        <v>46</v>
      </c>
      <c r="E2" t="s">
        <v>47</v>
      </c>
    </row>
    <row r="3" spans="2:5" x14ac:dyDescent="0.3">
      <c r="B3">
        <v>1</v>
      </c>
      <c r="C3" t="s">
        <v>20</v>
      </c>
      <c r="D3" s="13">
        <v>45000</v>
      </c>
      <c r="E3" t="s">
        <v>21</v>
      </c>
    </row>
    <row r="4" spans="2:5" x14ac:dyDescent="0.3">
      <c r="B4">
        <v>2</v>
      </c>
      <c r="C4" t="s">
        <v>22</v>
      </c>
      <c r="D4" s="13">
        <v>450000</v>
      </c>
      <c r="E4" t="s">
        <v>23</v>
      </c>
    </row>
    <row r="5" spans="2:5" x14ac:dyDescent="0.3">
      <c r="B5">
        <v>3</v>
      </c>
      <c r="C5" t="s">
        <v>24</v>
      </c>
      <c r="D5" s="14">
        <v>50000</v>
      </c>
      <c r="E5" t="s">
        <v>25</v>
      </c>
    </row>
    <row r="6" spans="2:5" x14ac:dyDescent="0.3">
      <c r="B6">
        <v>4</v>
      </c>
      <c r="C6" t="s">
        <v>28</v>
      </c>
      <c r="D6" s="15" t="s">
        <v>27</v>
      </c>
      <c r="E6" t="s">
        <v>26</v>
      </c>
    </row>
    <row r="7" spans="2:5" x14ac:dyDescent="0.3">
      <c r="B7">
        <v>5</v>
      </c>
      <c r="C7" t="s">
        <v>30</v>
      </c>
      <c r="D7" s="15" t="s">
        <v>31</v>
      </c>
      <c r="E7" t="s">
        <v>29</v>
      </c>
    </row>
    <row r="8" spans="2:5" x14ac:dyDescent="0.3">
      <c r="B8">
        <v>6</v>
      </c>
      <c r="C8" t="s">
        <v>34</v>
      </c>
      <c r="D8" s="17" t="s">
        <v>33</v>
      </c>
      <c r="E8" t="s">
        <v>32</v>
      </c>
    </row>
    <row r="9" spans="2:5" x14ac:dyDescent="0.3">
      <c r="B9">
        <v>7</v>
      </c>
      <c r="C9" t="s">
        <v>35</v>
      </c>
      <c r="D9" s="13">
        <v>450000</v>
      </c>
      <c r="E9" t="s">
        <v>36</v>
      </c>
    </row>
    <row r="10" spans="2:5" x14ac:dyDescent="0.3">
      <c r="B10">
        <v>8</v>
      </c>
      <c r="C10" t="s">
        <v>37</v>
      </c>
      <c r="D10" s="14">
        <v>50000</v>
      </c>
      <c r="E10" t="s">
        <v>38</v>
      </c>
    </row>
    <row r="11" spans="2:5" ht="16.350000000000001" customHeight="1" x14ac:dyDescent="0.3">
      <c r="B11">
        <v>9</v>
      </c>
      <c r="C11" s="19" t="s">
        <v>39</v>
      </c>
      <c r="D11" t="s">
        <v>41</v>
      </c>
      <c r="E11" t="s">
        <v>40</v>
      </c>
    </row>
    <row r="12" spans="2:5" x14ac:dyDescent="0.3">
      <c r="C12" s="2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C2FE-636F-4C4E-BAC1-8E874A72AEAD}">
  <dimension ref="A1:C11"/>
  <sheetViews>
    <sheetView workbookViewId="0">
      <selection activeCell="L22" sqref="L22"/>
    </sheetView>
  </sheetViews>
  <sheetFormatPr defaultRowHeight="14.4" x14ac:dyDescent="0.3"/>
  <cols>
    <col min="2" max="2" width="24.44140625" customWidth="1"/>
    <col min="3" max="3" width="30.77734375" customWidth="1"/>
  </cols>
  <sheetData>
    <row r="1" spans="1:3" x14ac:dyDescent="0.3">
      <c r="A1" s="18" t="s">
        <v>7</v>
      </c>
      <c r="B1" s="18" t="s">
        <v>43</v>
      </c>
      <c r="C1" s="18" t="s">
        <v>42</v>
      </c>
    </row>
    <row r="2" spans="1:3" x14ac:dyDescent="0.3">
      <c r="A2">
        <v>1</v>
      </c>
      <c r="B2">
        <v>45000</v>
      </c>
      <c r="C2">
        <v>103000</v>
      </c>
    </row>
    <row r="3" spans="1:3" x14ac:dyDescent="0.3">
      <c r="A3">
        <v>2</v>
      </c>
      <c r="B3">
        <v>45000</v>
      </c>
      <c r="C3">
        <v>81782</v>
      </c>
    </row>
    <row r="4" spans="1:3" x14ac:dyDescent="0.3">
      <c r="A4">
        <v>3</v>
      </c>
      <c r="B4">
        <v>45000</v>
      </c>
      <c r="C4">
        <v>64934.908000000003</v>
      </c>
    </row>
    <row r="5" spans="1:3" x14ac:dyDescent="0.3">
      <c r="A5">
        <v>4</v>
      </c>
      <c r="B5">
        <v>45000</v>
      </c>
      <c r="C5">
        <v>51558.316952000001</v>
      </c>
    </row>
    <row r="6" spans="1:3" x14ac:dyDescent="0.3">
      <c r="A6">
        <v>5</v>
      </c>
      <c r="B6">
        <v>45000</v>
      </c>
      <c r="C6">
        <v>40937.303659887999</v>
      </c>
    </row>
    <row r="7" spans="1:3" x14ac:dyDescent="0.3">
      <c r="A7">
        <v>6</v>
      </c>
      <c r="B7">
        <v>45000</v>
      </c>
      <c r="C7">
        <v>32504.21910595107</v>
      </c>
    </row>
    <row r="8" spans="1:3" x14ac:dyDescent="0.3">
      <c r="A8">
        <v>7</v>
      </c>
      <c r="B8">
        <v>45000</v>
      </c>
      <c r="C8">
        <v>25808.349970125149</v>
      </c>
    </row>
    <row r="9" spans="1:3" x14ac:dyDescent="0.3">
      <c r="A9">
        <v>8</v>
      </c>
      <c r="B9">
        <v>45000</v>
      </c>
      <c r="C9">
        <v>20491.829876279371</v>
      </c>
    </row>
    <row r="10" spans="1:3" x14ac:dyDescent="0.3">
      <c r="A10">
        <v>9</v>
      </c>
      <c r="B10">
        <v>45000</v>
      </c>
      <c r="C10">
        <v>16270.51292176582</v>
      </c>
    </row>
    <row r="11" spans="1:3" x14ac:dyDescent="0.3">
      <c r="A11">
        <v>10</v>
      </c>
      <c r="B11">
        <v>45000</v>
      </c>
      <c r="C11">
        <v>12918.78725988206</v>
      </c>
    </row>
  </sheetData>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Depreciation Calculator</vt:lpstr>
      <vt:lpstr>Advanced Problem Statements  </vt:lpstr>
      <vt:lpstr>Depreciation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savita waghmare</cp:lastModifiedBy>
  <cp:lastPrinted>2019-12-30T11:34:18Z</cp:lastPrinted>
  <dcterms:created xsi:type="dcterms:W3CDTF">2019-12-30T10:28:43Z</dcterms:created>
  <dcterms:modified xsi:type="dcterms:W3CDTF">2026-02-19T17:56:19Z</dcterms:modified>
</cp:coreProperties>
</file>